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495" windowWidth="35835" windowHeight="21900" activeTab="2"/>
  </bookViews>
  <sheets>
    <sheet name="Raw Data" sheetId="4" r:id="rId1"/>
    <sheet name="Clean Data" sheetId="2" r:id="rId2"/>
    <sheet name="Analysis Regional Performance" sheetId="5" r:id="rId3"/>
  </sheets>
  <calcPr calcId="152511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<sst xmlns="http://schemas.openxmlformats.org/spreadsheetml/2006/main" count="305" uniqueCount="138">
  <si>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</si>
  <si>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</si>
  <si>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</si>
  <si>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</si>
  <si>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</si>
  <si>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</si>
  <si>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</si>
  <si>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</si>
  <si>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</si>
  <si>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</si>
  <si>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</si>
  <si>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</si>
  <si>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</si>
  <si>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</si>
  <si>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</si>
  <si>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</si>
  <si>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</si>
  <si>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</si>
  <si>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</si>
  <si>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</si>
  <si>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</si>
  <si>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</si>
  <si>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</si>
  <si>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</si>
  <si>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</si>
  <si>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</si>
  <si>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</si>
  <si>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</si>
  <si>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</si>
  <si>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</si>
  <si>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</si>
  <si>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</si>
  <si>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</si>
  <si>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</si>
  <si>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</si>
  <si>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</si>
  <si>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</si>
  <si>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</si>
  <si>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</si>
  <si>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</si>
  <si>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</si>
  <si>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</si>
  <si>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</si>
  <si>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</si>
  <si>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</si>
  <si>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</si>
  <si>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</si>
  <si>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</si>
  <si>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</si>
  <si>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</si>
  <si>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</si>
  <si>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</si>
  <si>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</si>
  <si>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</si>
  <si>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</si>
  <si>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</si>
  <si>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</si>
  <si>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</si>
  <si>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</si>
  <si>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</si>
  <si>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</si>
  <si>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</si>
  <si>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</si>
  <si>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</si>
  <si>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</si>
  <si>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</si>
  <si>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</si>
  <si>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</si>
  <si>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</si>
  <si>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</si>
  <si>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</si>
  <si>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</si>
  <si>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</si>
  <si>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</si>
  <si>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</si>
  <si>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</si>
  <si>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</si>
  <si>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</si>
  <si>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</si>
  <si>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</si>
  <si>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</si>
  <si>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</si>
  <si>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</si>
  <si>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</si>
  <si>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</si>
  <si>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</si>
  <si>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</si>
  <si>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</si>
  <si>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</si>
  <si>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</si>
  <si>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</si>
  <si>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</si>
  <si>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</si>
  <si>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</si>
  <si>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</si>
  <si>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</si>
  <si>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</si>
  <si>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</si>
  <si>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</si>
  <si>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</si>
  <si>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</si>
  <si>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</si>
  <si>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</si>
  <si>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</si>
  <si>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</si>
  <si>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</si>
  <si>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</si>
  <si>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</si>
  <si>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</si>
  <si>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</si>
  <si>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</si>
  <si>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</si>
  <si>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</si>
  <si>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</si>
  <si>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</si>
  <si>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</si>
  <si>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</si>
  <si>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</si>
  <si>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</si>
  <si>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</si>
  <si>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</si>
  <si>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</si>
  <si>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</si>
  <si>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</si>
  <si>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</si>
  <si>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</si>
  <si>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</si>
  <si>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</si>
  <si>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</si>
  <si>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</si>
  <si>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</si>
  <si>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</si>
  <si>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NA</t>
  </si>
  <si>
    <t>Row Labels</t>
  </si>
  <si>
    <t>Grand Total</t>
  </si>
  <si>
    <t>Total Revenue</t>
  </si>
  <si>
    <t>Total Profit</t>
  </si>
  <si>
    <t>This analysis compares revenue and profit across regions to identify performance differences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</si>
</sst>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164" formatCode="0.0%"/>
    <numFmt numFmtId="165" formatCode="&quot;$&quot;#,##0.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Border="1"/>
    <xf numFmtId="14" fontId="2" fillId="2" borderId="0" xfId="0" applyNumberFormat="1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2">
    <cellStyle name="Normal" xfId="0" builtinId="0"/>
    <cellStyle name="Percent" xfId="1" builtinId="5"/>
  </cellStyles>
  <dxfs count="8"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0.0%"/>
    </dxf>
    <dxf>
      <numFmt numFmtId="10" formatCode="&quot;$&quot;#,##0_);[Red]\(&quot;$&quot;#,##0\)"/>
      <alignment horizontal="center" vertical="bottom" textRotation="0" wrapText="0" indent="0" justifyLastLine="0" shrinkToFit="0" readingOrder="0"/>
    </dxf>
    <dxf>
      <numFmt numFmtId="10" formatCode="&quot;$&quot;#,##0_);[Red]\(&quot;$&quot;#,##0\)"/>
      <alignment horizontal="center" vertical="bottom" textRotation="0" wrapText="0" indent="0" justifyLastLine="0" shrinkToFit="0" readingOrder="0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Cleaning Analysis.xlsx]Analysis Regional Performance!PivotTable1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Profit</a:t>
            </a:r>
            <a:r>
              <a:rPr lang="en-US" baseline="0"/>
              <a:t> by Region</a:t>
            </a:r>
            <a:endParaRPr lang="en-US"/>
          </a:p>
        </c:rich>
      </c:tx>
      <c:layout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571212844969722"/>
          <c:y val="0.20412037037037037"/>
          <c:w val="0.82558597983471249"/>
          <c:h val="0.688480242053076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Regional Performance'!$B$3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Regional Performance'!$A$4:$A$8</c:f>
              <c:strCache>
                <c:ptCount val="4"/>
                <c:pt idx="0">
                  <c:v>New York</c:v>
                </c:pt>
                <c:pt idx="1">
                  <c:v>California</c:v>
                </c:pt>
                <c:pt idx="2">
                  <c:v>Florida</c:v>
                </c:pt>
                <c:pt idx="3">
                  <c:v>Texas</c:v>
                </c:pt>
              </c:strCache>
            </c:strRef>
          </c:cat>
          <c:val>
            <c:numRef>
              <c:f>'Analysis Regional Performance'!$B$4:$B$8</c:f>
              <c:numCache>
                <c:formatCode>"$"#,##0.00</c:formatCode>
                <c:ptCount val="4"/>
                <c:pt idx="0">
                  <c:v>41537.5</c:v>
                </c:pt>
                <c:pt idx="1">
                  <c:v>36750</c:v>
                </c:pt>
                <c:pt idx="2">
                  <c:v>34070</c:v>
                </c:pt>
                <c:pt idx="3">
                  <c:v>32475</c:v>
                </c:pt>
              </c:numCache>
            </c:numRef>
          </c:val>
        </c:ser>
        <c:ser>
          <c:idx val="1"/>
          <c:order val="1"/>
          <c:tx>
            <c:strRef>
              <c:f>'Analysis Regional Performance'!$C$3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Regional Performance'!$A$4:$A$8</c:f>
              <c:strCache>
                <c:ptCount val="4"/>
                <c:pt idx="0">
                  <c:v>New York</c:v>
                </c:pt>
                <c:pt idx="1">
                  <c:v>California</c:v>
                </c:pt>
                <c:pt idx="2">
                  <c:v>Florida</c:v>
                </c:pt>
                <c:pt idx="3">
                  <c:v>Texas</c:v>
                </c:pt>
              </c:strCache>
            </c:strRef>
          </c:cat>
          <c:val>
            <c:numRef>
              <c:f>'Analysis Regional Performance'!$C$4:$C$8</c:f>
              <c:numCache>
                <c:formatCode>"$"#,##0.00</c:formatCode>
                <c:ptCount val="4"/>
                <c:pt idx="0">
                  <c:v>8827</c:v>
                </c:pt>
                <c:pt idx="1">
                  <c:v>8518</c:v>
                </c:pt>
                <c:pt idx="2">
                  <c:v>5886</c:v>
                </c:pt>
                <c:pt idx="3">
                  <c:v>8076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8330856"/>
        <c:axId val="428329288"/>
      </c:barChart>
      <c:catAx>
        <c:axId val="428330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29288"/>
        <c:crosses val="autoZero"/>
        <c:auto val="1"/>
        <c:lblAlgn val="ctr"/>
        <c:lblOffset val="100"/>
        <c:noMultiLvlLbl val="0"/>
      </c:catAx>
      <c:valAx>
        <c:axId val="428329288"/>
        <c:scaling>
          <c:orientation val="minMax"/>
          <c:max val="50000"/>
          <c:min val="0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30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376237</xdr:colOff>
      <xdr:row>3</xdr:row>
      <xdr:rowOff>61912</xdr:rowOff>
    </xdr:from>
    <xdr:to>
      <xdr:col>10</xdr:col>
      <xdr:colOff>252412</xdr:colOff>
      <xdr:row>17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13.315804050922" createdVersion="5" refreshedVersion="5" minRefreshableVersion="3" recordCount="31">
  <cacheSource type="worksheet">
    <worksheetSource name="Table1"/>
  </cacheSource>
  <cacheFields count="9">
    <cacheField name="Date" numFmtId="14">
      <sharedItems containsSemiMixedTypes="0" containsNonDate="0" containsDate="1" containsString="0" minDate="2023-05-30T00:00:00" maxDate="2023-06-03T00:00:00"/>
    </cacheField>
    <cacheField name="Client" numFmtId="0">
      <sharedItems/>
    </cacheField>
    <cacheField name="Contact" numFmtId="0">
      <sharedItems/>
    </cacheField>
    <cacheField name="Department" numFmtId="0">
      <sharedItems count="4">
        <s v="Cloud Tech"/>
        <s v="Strategy"/>
        <s v="Operations"/>
        <s v="Big Data"/>
      </sharedItems>
    </cacheField>
    <cacheField name="Region" numFmtId="0">
      <sharedItems count="4">
        <s v="Texas"/>
        <s v="New York"/>
        <s v="Florida"/>
        <s v="California"/>
      </sharedItems>
    </cacheField>
    <cacheField name="Payment" numFmtId="0">
      <sharedItems/>
    </cacheField>
    <cacheField name="Revenue" numFmtId="6">
      <sharedItems containsMixedTypes="1" containsNumber="1" minValue="3600" maxValue="7500" count="20">
        <n v="4500"/>
        <n v="3800"/>
        <n v="3712.5"/>
        <s v="NA"/>
        <n v="5000"/>
        <n v="6100"/>
        <n v="4625"/>
        <n v="3600"/>
        <n v="5100"/>
        <n v="4750"/>
        <n v="6000"/>
        <n v="4950"/>
        <n v="7320"/>
        <n v="5087.5"/>
        <n v="4250"/>
        <n v="5250"/>
        <n v="6500"/>
        <n v="7500"/>
        <n v="5500"/>
        <n v="5400"/>
      </sharedItems>
    </cacheField>
    <cacheField name="Profit" numFmtId="6">
      <sharedItems containsSemiMixedTypes="0" containsString="0" containsNumber="1" containsInteger="1" minValue="540" maxValue="2045"/>
    </cacheField>
    <cacheField name="Profit Margin" numFmtId="164">
      <sharedItems containsMixedTypes="1" containsNumber="1" minValue="8.9180327868852466E-2" maxValue="0.538157894736842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d v="2023-05-30T00:00:00"/>
    <s v="amazon.com, inc. "/>
    <s v="Bill Smith"/>
    <x v="0"/>
    <x v="0"/>
    <s v="Transfer"/>
    <x v="0"/>
    <n v="598"/>
    <n v="0.13288888888888889"/>
  </r>
  <r>
    <d v="2023-05-30T00:00:00"/>
    <s v="tesla, inc. "/>
    <s v="Ken Singh"/>
    <x v="1"/>
    <x v="1"/>
    <s v="PayPal"/>
    <x v="1"/>
    <n v="1045"/>
    <n v="0.27500000000000002"/>
  </r>
  <r>
    <d v="2023-05-30T00:00:00"/>
    <s v="netflix, inc. "/>
    <s v="Harley Fritz"/>
    <x v="1"/>
    <x v="1"/>
    <s v="NA"/>
    <x v="2"/>
    <n v="1009"/>
    <n v="0.2717845117845118"/>
  </r>
  <r>
    <d v="2023-05-30T00:00:00"/>
    <s v="the procter &amp; gamble company "/>
    <s v="Nyla Novak"/>
    <x v="2"/>
    <x v="2"/>
    <s v="NA"/>
    <x v="3"/>
    <n v="779"/>
    <s v=" "/>
  </r>
  <r>
    <d v="2023-05-30T00:00:00"/>
    <s v="the goldman sachs group, inc. "/>
    <s v="David Rasmussen"/>
    <x v="2"/>
    <x v="2"/>
    <s v="Check"/>
    <x v="4"/>
    <n v="684"/>
    <n v="0.1368"/>
  </r>
  <r>
    <d v="2023-05-31T00:00:00"/>
    <s v="jpmorgan chase &amp; co. "/>
    <s v="Ivan Hiney"/>
    <x v="0"/>
    <x v="0"/>
    <s v="Transfer"/>
    <x v="5"/>
    <n v="544"/>
    <n v="8.9180327868852466E-2"/>
  </r>
  <r>
    <d v="2023-05-31T00:00:00"/>
    <s v="morgan stanley "/>
    <s v="Jonha Ma"/>
    <x v="0"/>
    <x v="0"/>
    <s v="Transfer"/>
    <x v="6"/>
    <n v="670"/>
    <n v="0.14486486486486486"/>
  </r>
  <r>
    <d v="2023-05-31T00:00:00"/>
    <s v="citigroup inc. "/>
    <s v="Jordan Boone"/>
    <x v="0"/>
    <x v="0"/>
    <s v="Transfer"/>
    <x v="1"/>
    <n v="2045"/>
    <n v="0.53815789473684206"/>
  </r>
  <r>
    <d v="2023-05-31T00:00:00"/>
    <s v="bank of america corporation "/>
    <s v="Kylee Townsend"/>
    <x v="0"/>
    <x v="0"/>
    <s v="Card"/>
    <x v="7"/>
    <n v="1564"/>
    <n v="0.43444444444444447"/>
  </r>
  <r>
    <d v="2023-05-31T00:00:00"/>
    <s v="walmart inc. "/>
    <s v="Nora Rollins"/>
    <x v="0"/>
    <x v="0"/>
    <s v="Check"/>
    <x v="8"/>
    <n v="1220"/>
    <n v="0.23921568627450981"/>
  </r>
  <r>
    <d v="2023-05-31T00:00:00"/>
    <s v="target corporation "/>
    <s v="Brendan Wallace"/>
    <x v="0"/>
    <x v="0"/>
    <s v="Check"/>
    <x v="9"/>
    <n v="1435"/>
    <n v="0.30210526315789471"/>
  </r>
  <r>
    <d v="2023-05-31T00:00:00"/>
    <s v="costco wholesale corporation "/>
    <s v="Conor Wise"/>
    <x v="2"/>
    <x v="2"/>
    <s v="Transfer"/>
    <x v="10"/>
    <n v="998"/>
    <n v="0.16633333333333333"/>
  </r>
  <r>
    <d v="2023-05-31T00:00:00"/>
    <s v="mcdonald's corporation "/>
    <s v="Steven Michael"/>
    <x v="3"/>
    <x v="3"/>
    <s v="Check"/>
    <x v="0"/>
    <n v="780"/>
    <n v="0.17333333333333334"/>
  </r>
  <r>
    <d v="2023-06-01T00:00:00"/>
    <s v="exxon mobil corporation "/>
    <s v="Lucia Mckay"/>
    <x v="3"/>
    <x v="3"/>
    <s v="Card"/>
    <x v="3"/>
    <n v="1044"/>
    <s v=" "/>
  </r>
  <r>
    <d v="2023-06-01T00:00:00"/>
    <s v="verizon communications inc. "/>
    <s v="Jose Roach"/>
    <x v="3"/>
    <x v="3"/>
    <s v="Transfer"/>
    <x v="2"/>
    <n v="1222"/>
    <n v="0.32915824915824915"/>
  </r>
  <r>
    <d v="2023-06-01T00:00:00"/>
    <s v="the home depot, inc. "/>
    <s v="Franklin Wrigt"/>
    <x v="3"/>
    <x v="3"/>
    <s v="Transfer"/>
    <x v="11"/>
    <n v="1065"/>
    <n v="0.21515151515151515"/>
  </r>
  <r>
    <d v="2023-06-01T00:00:00"/>
    <s v="cisco systems, inc. "/>
    <s v="Alia Thornton"/>
    <x v="2"/>
    <x v="2"/>
    <s v="Transfer"/>
    <x v="9"/>
    <n v="810"/>
    <n v="0.17052631578947369"/>
  </r>
  <r>
    <d v="2023-06-01T00:00:00"/>
    <s v="chevron corporation "/>
    <s v="Denzel Flores"/>
    <x v="2"/>
    <x v="2"/>
    <s v="Transfer"/>
    <x v="12"/>
    <n v="933"/>
    <n v="0.12745901639344262"/>
  </r>
  <r>
    <d v="2023-05-31T00:00:00"/>
    <s v="costco wholesale corporation "/>
    <s v="Conor Wise"/>
    <x v="2"/>
    <x v="2"/>
    <s v="Transfer"/>
    <x v="10"/>
    <n v="998"/>
    <n v="0.16633333333333333"/>
  </r>
  <r>
    <d v="2023-05-31T00:00:00"/>
    <s v="mcdonald's corporation "/>
    <s v="Steven Michael"/>
    <x v="3"/>
    <x v="3"/>
    <s v="Check"/>
    <x v="0"/>
    <n v="780"/>
    <n v="0.17333333333333334"/>
  </r>
  <r>
    <d v="2023-06-01T00:00:00"/>
    <s v="at&amp;t inc. "/>
    <s v="Bruno Cordova"/>
    <x v="3"/>
    <x v="3"/>
    <s v="Transfer"/>
    <x v="13"/>
    <n v="655"/>
    <n v="0.12874692874692875"/>
  </r>
  <r>
    <d v="2023-06-01T00:00:00"/>
    <s v="intel corporation "/>
    <s v="Jaylynn Napp"/>
    <x v="3"/>
    <x v="3"/>
    <s v="Transfer"/>
    <x v="0"/>
    <n v="722"/>
    <n v="0.16044444444444445"/>
  </r>
  <r>
    <d v="2023-06-01T00:00:00"/>
    <s v="general motors company "/>
    <s v="Bruce Rich"/>
    <x v="3"/>
    <x v="3"/>
    <s v="Card"/>
    <x v="14"/>
    <n v="901"/>
    <n v="0.21199999999999999"/>
  </r>
  <r>
    <d v="2023-06-02T00:00:00"/>
    <s v="microsoft corporation "/>
    <s v="Arturo Moore"/>
    <x v="3"/>
    <x v="3"/>
    <s v="PayPal"/>
    <x v="15"/>
    <n v="1349"/>
    <n v="0.25695238095238093"/>
  </r>
  <r>
    <d v="2023-06-02T00:00:00"/>
    <s v="comcast corporation "/>
    <s v="Bryce Carpenter"/>
    <x v="1"/>
    <x v="1"/>
    <s v="PayPal"/>
    <x v="16"/>
    <n v="1288"/>
    <n v="0.19815384615384615"/>
  </r>
  <r>
    <d v="2023-06-02T00:00:00"/>
    <s v="dell technologies inc. "/>
    <s v="Jaidyn Andersen"/>
    <x v="1"/>
    <x v="1"/>
    <s v="PayPal"/>
    <x v="17"/>
    <n v="1664"/>
    <n v="0.22186666666666666"/>
  </r>
  <r>
    <d v="2023-06-02T00:00:00"/>
    <s v="johnson &amp; johnson "/>
    <s v="Mark Walm"/>
    <x v="1"/>
    <x v="1"/>
    <s v="Transfer"/>
    <x v="18"/>
    <n v="1320"/>
    <n v="0.24"/>
  </r>
  <r>
    <d v="2023-06-02T00:00:00"/>
    <s v="fedex corporation "/>
    <s v="Harry Lee"/>
    <x v="1"/>
    <x v="1"/>
    <s v="Transfer"/>
    <x v="6"/>
    <n v="1001"/>
    <n v="0.21643243243243243"/>
  </r>
  <r>
    <d v="2023-06-02T00:00:00"/>
    <s v="general electric company "/>
    <s v="Josh Johnson"/>
    <x v="1"/>
    <x v="1"/>
    <s v="Transfer"/>
    <x v="0"/>
    <n v="960"/>
    <n v="0.21333333333333335"/>
  </r>
  <r>
    <d v="2023-06-02T00:00:00"/>
    <s v="lockheed martin corporation "/>
    <s v="Mik Naam"/>
    <x v="1"/>
    <x v="1"/>
    <s v="Card"/>
    <x v="19"/>
    <n v="540"/>
    <n v="0.1"/>
  </r>
  <r>
    <d v="2023-05-30T00:00:00"/>
    <s v="the goldman sachs group, inc. "/>
    <s v="David Rasmussen"/>
    <x v="2"/>
    <x v="2"/>
    <s v="Check"/>
    <x v="4"/>
    <n v="684"/>
    <n v="0.13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C8" firstHeaderRow="0" firstDataRow="1" firstDataCol="1"/>
  <pivotFields count="9">
    <pivotField numFmtId="14"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21">
        <item x="7"/>
        <item x="2"/>
        <item x="1"/>
        <item x="14"/>
        <item x="0"/>
        <item x="6"/>
        <item x="9"/>
        <item x="11"/>
        <item x="4"/>
        <item x="13"/>
        <item x="8"/>
        <item x="15"/>
        <item x="19"/>
        <item x="18"/>
        <item x="10"/>
        <item x="5"/>
        <item x="16"/>
        <item x="12"/>
        <item x="17"/>
        <item x="3"/>
        <item t="default"/>
      </items>
    </pivotField>
    <pivotField dataField="1" numFmtId="6" showAll="0"/>
    <pivotField showAll="0"/>
  </pivotFields>
  <rowFields count="1">
    <field x="4"/>
  </rowFields>
  <rowItems count="5">
    <i>
      <x v="2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6" baseField="4" baseItem="2" numFmtId="165"/>
    <dataField name="Total Profit" fld="7" baseField="4" baseItem="0"/>
  </dataFields>
  <formats count="2">
    <format dxfId="0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1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32" totalsRowShown="0" headerRowDxfId="3">
  <autoFilter ref="A1:I32"/>
  <tableColumns count="9">
    <tableColumn id="1" name="Date" dataDxfId="7"/>
    <tableColumn id="2" name="Client"/>
    <tableColumn id="3" name="Contact"/>
    <tableColumn id="4" name="Department"/>
    <tableColumn id="5" name="Region"/>
    <tableColumn id="6" name="Payment"/>
    <tableColumn id="7" name="Revenue" dataDxfId="6"/>
    <tableColumn id="8" name="Profit" dataDxfId="5"/>
    <tableColumn id="9" name="Profit Margin" dataDxfId="4" dataCellStyle="Percent">
      <calculatedColumnFormula>IFERROR(H2/G2," 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topLeftCell="B1" zoomScale="106" zoomScaleNormal="106" workbookViewId="0">
      <selection activeCell="B6" sqref="B6"/>
    </sheetView>
  </sheetViews>
  <sheetFormatPr defaultColWidth="11" defaultRowHeight="15.75" x14ac:dyDescent="0.25"/>
  <cols>
    <col min="1" max="1" width="6.625" customWidth="1"/>
    <col min="2" max="2" width="8.625" bestFit="1" customWidth="1"/>
    <col min="3" max="3" width="11" customWidth="1"/>
    <col min="4" max="5" width="16.875" bestFit="1" customWidth="1"/>
    <col min="6" max="6" width="15" customWidth="1"/>
    <col min="7" max="7" width="8" bestFit="1" customWidth="1"/>
    <col min="9" max="9" width="12" bestFit="1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si="0"/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0"/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si="0"/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showGridLines="0" zoomScale="95" zoomScaleNormal="95" workbookViewId="0">
      <selection activeCell="F6" sqref="F6"/>
    </sheetView>
  </sheetViews>
  <sheetFormatPr defaultColWidth="11" defaultRowHeight="15.75" x14ac:dyDescent="0.25"/>
  <cols>
    <col min="1" max="1" width="8.125" style="4" bestFit="1" customWidth="1"/>
    <col min="2" max="2" width="27.25" bestFit="1" customWidth="1"/>
    <col min="3" max="3" width="16.875" customWidth="1"/>
    <col min="4" max="4" width="16.875" bestFit="1" customWidth="1"/>
    <col min="5" max="5" width="16.875" customWidth="1"/>
    <col min="6" max="6" width="10.375" style="5" customWidth="1"/>
    <col min="7" max="7" width="10.125" customWidth="1"/>
    <col min="8" max="8" width="7.625" customWidth="1"/>
    <col min="9" max="9" width="14.25" customWidth="1"/>
  </cols>
  <sheetData>
    <row r="1" spans="1:9" x14ac:dyDescent="0.25">
      <c r="A1" s="6" t="s">
        <v>0</v>
      </c>
      <c r="B1" s="7" t="s">
        <v>5</v>
      </c>
      <c r="C1" s="8" t="s">
        <v>1</v>
      </c>
      <c r="D1" s="8" t="s">
        <v>6</v>
      </c>
      <c r="E1" s="8" t="s">
        <v>100</v>
      </c>
      <c r="F1" s="9" t="s">
        <v>47</v>
      </c>
      <c r="G1" s="8" t="s">
        <v>2</v>
      </c>
      <c r="H1" s="8" t="s">
        <v>3</v>
      </c>
      <c r="I1" s="8" t="s">
        <v>4</v>
      </c>
    </row>
    <row r="2" spans="1:9" x14ac:dyDescent="0.25">
      <c r="A2" s="4">
        <v>45076</v>
      </c>
      <c r="B2" t="s">
        <v>72</v>
      </c>
      <c r="C2" t="s">
        <v>109</v>
      </c>
      <c r="D2" t="s">
        <v>101</v>
      </c>
      <c r="E2" t="s">
        <v>102</v>
      </c>
      <c r="F2" s="5" t="s">
        <v>51</v>
      </c>
      <c r="G2" s="1">
        <v>4500</v>
      </c>
      <c r="H2" s="1">
        <v>598</v>
      </c>
      <c r="I2" s="2">
        <f>IFERROR(H2/G2," ")</f>
        <v>0.13288888888888889</v>
      </c>
    </row>
    <row r="3" spans="1:9" x14ac:dyDescent="0.25">
      <c r="A3" s="4">
        <v>45076</v>
      </c>
      <c r="B3" t="s">
        <v>73</v>
      </c>
      <c r="C3" t="s">
        <v>110</v>
      </c>
      <c r="D3" t="s">
        <v>103</v>
      </c>
      <c r="E3" t="s">
        <v>104</v>
      </c>
      <c r="F3" s="5" t="s">
        <v>49</v>
      </c>
      <c r="G3" s="1">
        <v>3800</v>
      </c>
      <c r="H3" s="1">
        <v>1045</v>
      </c>
      <c r="I3" s="2">
        <f t="shared" ref="I3:I32" si="0">IFERROR(H3/G3," ")</f>
        <v>0.27500000000000002</v>
      </c>
    </row>
    <row r="4" spans="1:9" x14ac:dyDescent="0.25">
      <c r="A4" s="4">
        <v>45076</v>
      </c>
      <c r="B4" t="s">
        <v>74</v>
      </c>
      <c r="C4" t="s">
        <v>111</v>
      </c>
      <c r="D4" t="s">
        <v>103</v>
      </c>
      <c r="E4" t="s">
        <v>104</v>
      </c>
      <c r="F4" s="5" t="s">
        <v>132</v>
      </c>
      <c r="G4" s="1">
        <v>3712.5</v>
      </c>
      <c r="H4" s="1">
        <v>1009</v>
      </c>
      <c r="I4" s="2">
        <f t="shared" si="0"/>
        <v>0.2717845117845118</v>
      </c>
    </row>
    <row r="5" spans="1:9" x14ac:dyDescent="0.25">
      <c r="A5" s="4">
        <v>45076</v>
      </c>
      <c r="B5" t="s">
        <v>75</v>
      </c>
      <c r="C5" t="s">
        <v>35</v>
      </c>
      <c r="D5" t="s">
        <v>105</v>
      </c>
      <c r="E5" t="s">
        <v>106</v>
      </c>
      <c r="F5" s="5" t="s">
        <v>132</v>
      </c>
      <c r="G5" s="1" t="s">
        <v>132</v>
      </c>
      <c r="H5" s="1">
        <v>779</v>
      </c>
      <c r="I5" s="2" t="str">
        <f t="shared" si="0"/>
        <v xml:space="preserve"> </v>
      </c>
    </row>
    <row r="6" spans="1:9" x14ac:dyDescent="0.25">
      <c r="A6" s="4">
        <v>45076</v>
      </c>
      <c r="B6" t="s">
        <v>76</v>
      </c>
      <c r="C6" t="s">
        <v>112</v>
      </c>
      <c r="D6" t="s">
        <v>105</v>
      </c>
      <c r="E6" t="s">
        <v>106</v>
      </c>
      <c r="F6" s="5" t="s">
        <v>50</v>
      </c>
      <c r="G6" s="1">
        <v>5000</v>
      </c>
      <c r="H6" s="1">
        <v>684</v>
      </c>
      <c r="I6" s="2">
        <f t="shared" si="0"/>
        <v>0.1368</v>
      </c>
    </row>
    <row r="7" spans="1:9" x14ac:dyDescent="0.25">
      <c r="A7" s="4">
        <v>45077</v>
      </c>
      <c r="B7" t="s">
        <v>77</v>
      </c>
      <c r="C7" t="s">
        <v>113</v>
      </c>
      <c r="D7" t="s">
        <v>101</v>
      </c>
      <c r="E7" t="s">
        <v>102</v>
      </c>
      <c r="F7" s="5" t="s">
        <v>51</v>
      </c>
      <c r="G7" s="1">
        <v>6100</v>
      </c>
      <c r="H7" s="1">
        <v>544</v>
      </c>
      <c r="I7" s="2">
        <f t="shared" si="0"/>
        <v>8.9180327868852466E-2</v>
      </c>
    </row>
    <row r="8" spans="1:9" x14ac:dyDescent="0.25">
      <c r="A8" s="4">
        <v>45077</v>
      </c>
      <c r="B8" t="s">
        <v>78</v>
      </c>
      <c r="C8" t="s">
        <v>114</v>
      </c>
      <c r="D8" t="s">
        <v>101</v>
      </c>
      <c r="E8" t="s">
        <v>102</v>
      </c>
      <c r="F8" s="5" t="s">
        <v>51</v>
      </c>
      <c r="G8" s="1">
        <v>4625</v>
      </c>
      <c r="H8" s="1">
        <v>670</v>
      </c>
      <c r="I8" s="2">
        <f t="shared" si="0"/>
        <v>0.14486486486486486</v>
      </c>
    </row>
    <row r="9" spans="1:9" x14ac:dyDescent="0.25">
      <c r="A9" s="4">
        <v>45077</v>
      </c>
      <c r="B9" t="s">
        <v>79</v>
      </c>
      <c r="C9" t="s">
        <v>115</v>
      </c>
      <c r="D9" t="s">
        <v>101</v>
      </c>
      <c r="E9" t="s">
        <v>102</v>
      </c>
      <c r="F9" s="5" t="s">
        <v>51</v>
      </c>
      <c r="G9" s="1">
        <v>3800</v>
      </c>
      <c r="H9" s="1">
        <v>2045</v>
      </c>
      <c r="I9" s="2">
        <f t="shared" si="0"/>
        <v>0.53815789473684206</v>
      </c>
    </row>
    <row r="10" spans="1:9" x14ac:dyDescent="0.25">
      <c r="A10" s="4">
        <v>45077</v>
      </c>
      <c r="B10" t="s">
        <v>80</v>
      </c>
      <c r="C10" t="s">
        <v>36</v>
      </c>
      <c r="D10" t="s">
        <v>101</v>
      </c>
      <c r="E10" t="s">
        <v>102</v>
      </c>
      <c r="F10" s="5" t="s">
        <v>48</v>
      </c>
      <c r="G10" s="1">
        <v>3600</v>
      </c>
      <c r="H10" s="1">
        <v>1564</v>
      </c>
      <c r="I10" s="2">
        <f t="shared" si="0"/>
        <v>0.43444444444444447</v>
      </c>
    </row>
    <row r="11" spans="1:9" x14ac:dyDescent="0.25">
      <c r="A11" s="4">
        <v>45077</v>
      </c>
      <c r="B11" t="s">
        <v>81</v>
      </c>
      <c r="C11" t="s">
        <v>37</v>
      </c>
      <c r="D11" t="s">
        <v>101</v>
      </c>
      <c r="E11" t="s">
        <v>102</v>
      </c>
      <c r="F11" s="5" t="s">
        <v>50</v>
      </c>
      <c r="G11" s="1">
        <v>5100</v>
      </c>
      <c r="H11" s="1">
        <v>1220</v>
      </c>
      <c r="I11" s="2">
        <f t="shared" si="0"/>
        <v>0.23921568627450981</v>
      </c>
    </row>
    <row r="12" spans="1:9" x14ac:dyDescent="0.25">
      <c r="A12" s="4">
        <v>45077</v>
      </c>
      <c r="B12" t="s">
        <v>82</v>
      </c>
      <c r="C12" t="s">
        <v>116</v>
      </c>
      <c r="D12" t="s">
        <v>101</v>
      </c>
      <c r="E12" t="s">
        <v>102</v>
      </c>
      <c r="F12" s="5" t="s">
        <v>50</v>
      </c>
      <c r="G12" s="1">
        <v>4750</v>
      </c>
      <c r="H12" s="1">
        <v>1435</v>
      </c>
      <c r="I12" s="2">
        <f t="shared" si="0"/>
        <v>0.30210526315789471</v>
      </c>
    </row>
    <row r="13" spans="1:9" x14ac:dyDescent="0.25">
      <c r="A13" s="4">
        <v>45077</v>
      </c>
      <c r="B13" t="s">
        <v>83</v>
      </c>
      <c r="C13" t="s">
        <v>117</v>
      </c>
      <c r="D13" t="s">
        <v>105</v>
      </c>
      <c r="E13" t="s">
        <v>106</v>
      </c>
      <c r="F13" s="5" t="s">
        <v>51</v>
      </c>
      <c r="G13" s="1">
        <v>6000</v>
      </c>
      <c r="H13" s="1">
        <v>998</v>
      </c>
      <c r="I13" s="2">
        <f t="shared" si="0"/>
        <v>0.16633333333333333</v>
      </c>
    </row>
    <row r="14" spans="1:9" x14ac:dyDescent="0.25">
      <c r="A14" s="4">
        <v>45077</v>
      </c>
      <c r="B14" t="s">
        <v>84</v>
      </c>
      <c r="C14" t="s">
        <v>118</v>
      </c>
      <c r="D14" t="s">
        <v>107</v>
      </c>
      <c r="E14" t="s">
        <v>108</v>
      </c>
      <c r="F14" s="5" t="s">
        <v>50</v>
      </c>
      <c r="G14" s="1">
        <v>4500</v>
      </c>
      <c r="H14" s="1">
        <v>780</v>
      </c>
      <c r="I14" s="2">
        <f t="shared" si="0"/>
        <v>0.17333333333333334</v>
      </c>
    </row>
    <row r="15" spans="1:9" x14ac:dyDescent="0.25">
      <c r="A15" s="4">
        <v>45078</v>
      </c>
      <c r="B15" t="s">
        <v>85</v>
      </c>
      <c r="C15" t="s">
        <v>38</v>
      </c>
      <c r="D15" t="s">
        <v>107</v>
      </c>
      <c r="E15" t="s">
        <v>108</v>
      </c>
      <c r="F15" s="5" t="s">
        <v>48</v>
      </c>
      <c r="G15" s="1" t="s">
        <v>132</v>
      </c>
      <c r="H15" s="1">
        <v>1044</v>
      </c>
      <c r="I15" s="2" t="str">
        <f t="shared" si="0"/>
        <v xml:space="preserve"> </v>
      </c>
    </row>
    <row r="16" spans="1:9" x14ac:dyDescent="0.25">
      <c r="A16" s="4">
        <v>45078</v>
      </c>
      <c r="B16" t="s">
        <v>86</v>
      </c>
      <c r="C16" t="s">
        <v>119</v>
      </c>
      <c r="D16" t="s">
        <v>107</v>
      </c>
      <c r="E16" t="s">
        <v>108</v>
      </c>
      <c r="F16" s="5" t="s">
        <v>51</v>
      </c>
      <c r="G16" s="1">
        <v>3712.5</v>
      </c>
      <c r="H16" s="1">
        <v>1222</v>
      </c>
      <c r="I16" s="2">
        <f t="shared" si="0"/>
        <v>0.32915824915824915</v>
      </c>
    </row>
    <row r="17" spans="1:9" x14ac:dyDescent="0.25">
      <c r="A17" s="4">
        <v>45078</v>
      </c>
      <c r="B17" t="s">
        <v>87</v>
      </c>
      <c r="C17" t="s">
        <v>120</v>
      </c>
      <c r="D17" t="s">
        <v>107</v>
      </c>
      <c r="E17" t="s">
        <v>108</v>
      </c>
      <c r="F17" s="5" t="s">
        <v>51</v>
      </c>
      <c r="G17" s="1">
        <v>4950</v>
      </c>
      <c r="H17" s="1">
        <v>1065</v>
      </c>
      <c r="I17" s="2">
        <f t="shared" si="0"/>
        <v>0.21515151515151515</v>
      </c>
    </row>
    <row r="18" spans="1:9" x14ac:dyDescent="0.25">
      <c r="A18" s="4">
        <v>45078</v>
      </c>
      <c r="B18" t="s">
        <v>88</v>
      </c>
      <c r="C18" t="s">
        <v>121</v>
      </c>
      <c r="D18" t="s">
        <v>105</v>
      </c>
      <c r="E18" t="s">
        <v>106</v>
      </c>
      <c r="F18" s="5" t="s">
        <v>51</v>
      </c>
      <c r="G18" s="1">
        <v>4750</v>
      </c>
      <c r="H18" s="1">
        <v>810</v>
      </c>
      <c r="I18" s="2">
        <f t="shared" si="0"/>
        <v>0.17052631578947369</v>
      </c>
    </row>
    <row r="19" spans="1:9" x14ac:dyDescent="0.25">
      <c r="A19" s="4">
        <v>45078</v>
      </c>
      <c r="B19" t="s">
        <v>89</v>
      </c>
      <c r="C19" t="s">
        <v>122</v>
      </c>
      <c r="D19" t="s">
        <v>105</v>
      </c>
      <c r="E19" t="s">
        <v>106</v>
      </c>
      <c r="F19" s="5" t="s">
        <v>51</v>
      </c>
      <c r="G19" s="1">
        <v>7320</v>
      </c>
      <c r="H19" s="1">
        <v>933</v>
      </c>
      <c r="I19" s="2">
        <f t="shared" si="0"/>
        <v>0.12745901639344262</v>
      </c>
    </row>
    <row r="20" spans="1:9" x14ac:dyDescent="0.25">
      <c r="A20" s="4">
        <v>45077</v>
      </c>
      <c r="B20" t="s">
        <v>83</v>
      </c>
      <c r="C20" t="s">
        <v>117</v>
      </c>
      <c r="D20" t="s">
        <v>105</v>
      </c>
      <c r="E20" t="s">
        <v>106</v>
      </c>
      <c r="F20" s="5" t="s">
        <v>51</v>
      </c>
      <c r="G20" s="1">
        <v>6000</v>
      </c>
      <c r="H20" s="1">
        <v>998</v>
      </c>
      <c r="I20" s="2">
        <f t="shared" si="0"/>
        <v>0.16633333333333333</v>
      </c>
    </row>
    <row r="21" spans="1:9" x14ac:dyDescent="0.25">
      <c r="A21" s="4">
        <v>45077</v>
      </c>
      <c r="B21" t="s">
        <v>84</v>
      </c>
      <c r="C21" t="s">
        <v>118</v>
      </c>
      <c r="D21" t="s">
        <v>107</v>
      </c>
      <c r="E21" t="s">
        <v>108</v>
      </c>
      <c r="F21" s="5" t="s">
        <v>50</v>
      </c>
      <c r="G21" s="1">
        <v>4500</v>
      </c>
      <c r="H21" s="1">
        <v>780</v>
      </c>
      <c r="I21" s="2">
        <f t="shared" si="0"/>
        <v>0.17333333333333334</v>
      </c>
    </row>
    <row r="22" spans="1:9" x14ac:dyDescent="0.25">
      <c r="A22" s="4">
        <v>45078</v>
      </c>
      <c r="B22" t="s">
        <v>90</v>
      </c>
      <c r="C22" t="s">
        <v>123</v>
      </c>
      <c r="D22" t="s">
        <v>107</v>
      </c>
      <c r="E22" t="s">
        <v>108</v>
      </c>
      <c r="F22" s="5" t="s">
        <v>51</v>
      </c>
      <c r="G22" s="1">
        <v>5087.5</v>
      </c>
      <c r="H22" s="1">
        <v>655</v>
      </c>
      <c r="I22" s="2">
        <f t="shared" si="0"/>
        <v>0.12874692874692875</v>
      </c>
    </row>
    <row r="23" spans="1:9" x14ac:dyDescent="0.25">
      <c r="A23" s="4">
        <v>45078</v>
      </c>
      <c r="B23" t="s">
        <v>91</v>
      </c>
      <c r="C23" t="s">
        <v>124</v>
      </c>
      <c r="D23" t="s">
        <v>107</v>
      </c>
      <c r="E23" t="s">
        <v>108</v>
      </c>
      <c r="F23" s="5" t="s">
        <v>51</v>
      </c>
      <c r="G23" s="1">
        <v>4500</v>
      </c>
      <c r="H23" s="1">
        <v>722</v>
      </c>
      <c r="I23" s="2">
        <f t="shared" si="0"/>
        <v>0.16044444444444445</v>
      </c>
    </row>
    <row r="24" spans="1:9" x14ac:dyDescent="0.25">
      <c r="A24" s="4">
        <v>45078</v>
      </c>
      <c r="B24" t="s">
        <v>92</v>
      </c>
      <c r="C24" t="s">
        <v>125</v>
      </c>
      <c r="D24" t="s">
        <v>107</v>
      </c>
      <c r="E24" t="s">
        <v>108</v>
      </c>
      <c r="F24" s="5" t="s">
        <v>48</v>
      </c>
      <c r="G24" s="1">
        <v>4250</v>
      </c>
      <c r="H24" s="1">
        <v>901</v>
      </c>
      <c r="I24" s="2">
        <f t="shared" si="0"/>
        <v>0.21199999999999999</v>
      </c>
    </row>
    <row r="25" spans="1:9" x14ac:dyDescent="0.25">
      <c r="A25" s="4">
        <v>45079</v>
      </c>
      <c r="B25" t="s">
        <v>93</v>
      </c>
      <c r="C25" t="s">
        <v>126</v>
      </c>
      <c r="D25" t="s">
        <v>107</v>
      </c>
      <c r="E25" t="s">
        <v>108</v>
      </c>
      <c r="F25" s="5" t="s">
        <v>49</v>
      </c>
      <c r="G25" s="1">
        <v>5250</v>
      </c>
      <c r="H25" s="1">
        <v>1349</v>
      </c>
      <c r="I25" s="2">
        <f t="shared" si="0"/>
        <v>0.25695238095238093</v>
      </c>
    </row>
    <row r="26" spans="1:9" x14ac:dyDescent="0.25">
      <c r="A26" s="4">
        <v>45079</v>
      </c>
      <c r="B26" t="s">
        <v>94</v>
      </c>
      <c r="C26" t="s">
        <v>127</v>
      </c>
      <c r="D26" t="s">
        <v>103</v>
      </c>
      <c r="E26" t="s">
        <v>104</v>
      </c>
      <c r="F26" s="5" t="s">
        <v>49</v>
      </c>
      <c r="G26" s="1">
        <v>6500</v>
      </c>
      <c r="H26" s="1">
        <v>1288</v>
      </c>
      <c r="I26" s="2">
        <f t="shared" si="0"/>
        <v>0.19815384615384615</v>
      </c>
    </row>
    <row r="27" spans="1:9" x14ac:dyDescent="0.25">
      <c r="A27" s="4">
        <v>45079</v>
      </c>
      <c r="B27" t="s">
        <v>95</v>
      </c>
      <c r="C27" t="s">
        <v>128</v>
      </c>
      <c r="D27" t="s">
        <v>103</v>
      </c>
      <c r="E27" t="s">
        <v>104</v>
      </c>
      <c r="F27" s="5" t="s">
        <v>49</v>
      </c>
      <c r="G27" s="1">
        <v>7500</v>
      </c>
      <c r="H27" s="1">
        <v>1664</v>
      </c>
      <c r="I27" s="2">
        <f t="shared" si="0"/>
        <v>0.22186666666666666</v>
      </c>
    </row>
    <row r="28" spans="1:9" x14ac:dyDescent="0.25">
      <c r="A28" s="4">
        <v>45079</v>
      </c>
      <c r="B28" t="s">
        <v>96</v>
      </c>
      <c r="C28" t="s">
        <v>129</v>
      </c>
      <c r="D28" t="s">
        <v>103</v>
      </c>
      <c r="E28" t="s">
        <v>104</v>
      </c>
      <c r="F28" s="5" t="s">
        <v>51</v>
      </c>
      <c r="G28" s="1">
        <v>5500</v>
      </c>
      <c r="H28" s="1">
        <v>1320</v>
      </c>
      <c r="I28" s="2">
        <f t="shared" si="0"/>
        <v>0.24</v>
      </c>
    </row>
    <row r="29" spans="1:9" x14ac:dyDescent="0.25">
      <c r="A29" s="4">
        <v>45079</v>
      </c>
      <c r="B29" t="s">
        <v>97</v>
      </c>
      <c r="C29" t="s">
        <v>130</v>
      </c>
      <c r="D29" t="s">
        <v>103</v>
      </c>
      <c r="E29" t="s">
        <v>104</v>
      </c>
      <c r="F29" s="5" t="s">
        <v>51</v>
      </c>
      <c r="G29" s="1">
        <v>4625</v>
      </c>
      <c r="H29" s="1">
        <v>1001</v>
      </c>
      <c r="I29" s="2">
        <f t="shared" si="0"/>
        <v>0.21643243243243243</v>
      </c>
    </row>
    <row r="30" spans="1:9" x14ac:dyDescent="0.25">
      <c r="A30" s="4">
        <v>45079</v>
      </c>
      <c r="B30" t="s">
        <v>98</v>
      </c>
      <c r="C30" t="s">
        <v>131</v>
      </c>
      <c r="D30" t="s">
        <v>103</v>
      </c>
      <c r="E30" t="s">
        <v>104</v>
      </c>
      <c r="F30" s="5" t="s">
        <v>51</v>
      </c>
      <c r="G30" s="1">
        <v>4500</v>
      </c>
      <c r="H30" s="1">
        <v>960</v>
      </c>
      <c r="I30" s="2">
        <f t="shared" si="0"/>
        <v>0.21333333333333335</v>
      </c>
    </row>
    <row r="31" spans="1:9" x14ac:dyDescent="0.25">
      <c r="A31" s="4">
        <v>45079</v>
      </c>
      <c r="B31" t="s">
        <v>99</v>
      </c>
      <c r="C31" t="s">
        <v>39</v>
      </c>
      <c r="D31" t="s">
        <v>103</v>
      </c>
      <c r="E31" t="s">
        <v>104</v>
      </c>
      <c r="F31" s="5" t="s">
        <v>48</v>
      </c>
      <c r="G31" s="1">
        <v>5400</v>
      </c>
      <c r="H31" s="1">
        <v>540</v>
      </c>
      <c r="I31" s="2">
        <f t="shared" si="0"/>
        <v>0.1</v>
      </c>
    </row>
    <row r="32" spans="1:9" x14ac:dyDescent="0.25">
      <c r="A32" s="4">
        <v>45076</v>
      </c>
      <c r="B32" t="s">
        <v>76</v>
      </c>
      <c r="C32" t="s">
        <v>112</v>
      </c>
      <c r="D32" t="s">
        <v>105</v>
      </c>
      <c r="E32" t="s">
        <v>106</v>
      </c>
      <c r="F32" s="5" t="s">
        <v>50</v>
      </c>
      <c r="G32" s="1">
        <v>5000</v>
      </c>
      <c r="H32" s="1">
        <v>684</v>
      </c>
      <c r="I32" s="2">
        <f t="shared" si="0"/>
        <v>0.1368</v>
      </c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"/>
  <sheetViews>
    <sheetView tabSelected="1" workbookViewId="0">
      <selection activeCell="C11" sqref="C11"/>
    </sheetView>
  </sheetViews>
  <sheetFormatPr defaultRowHeight="15.75" x14ac:dyDescent="0.25"/>
  <cols>
    <col min="1" max="1" width="12.375" customWidth="1"/>
    <col min="2" max="2" width="13.25" customWidth="1"/>
    <col min="3" max="3" width="10.625" bestFit="1" customWidth="1"/>
    <col min="4" max="4" width="10.375" bestFit="1" customWidth="1"/>
    <col min="5" max="5" width="8.125" customWidth="1"/>
    <col min="6" max="6" width="11" bestFit="1" customWidth="1"/>
  </cols>
  <sheetData>
    <row r="2" spans="1:4" x14ac:dyDescent="0.25">
      <c r="D2" t="s">
        <v>137</v>
      </c>
    </row>
    <row r="3" spans="1:4" x14ac:dyDescent="0.25">
      <c r="A3" s="10" t="s">
        <v>133</v>
      </c>
      <c r="B3" t="s">
        <v>135</v>
      </c>
      <c r="C3" t="s">
        <v>136</v>
      </c>
    </row>
    <row r="4" spans="1:4" x14ac:dyDescent="0.25">
      <c r="A4" s="11" t="s">
        <v>104</v>
      </c>
      <c r="B4" s="12">
        <v>41537.5</v>
      </c>
      <c r="C4" s="12">
        <v>8827</v>
      </c>
    </row>
    <row r="5" spans="1:4" x14ac:dyDescent="0.25">
      <c r="A5" s="11" t="s">
        <v>108</v>
      </c>
      <c r="B5" s="12">
        <v>36750</v>
      </c>
      <c r="C5" s="12">
        <v>8518</v>
      </c>
    </row>
    <row r="6" spans="1:4" x14ac:dyDescent="0.25">
      <c r="A6" s="11" t="s">
        <v>106</v>
      </c>
      <c r="B6" s="12">
        <v>34070</v>
      </c>
      <c r="C6" s="12">
        <v>5886</v>
      </c>
    </row>
    <row r="7" spans="1:4" x14ac:dyDescent="0.25">
      <c r="A7" s="11" t="s">
        <v>102</v>
      </c>
      <c r="B7" s="12">
        <v>32475</v>
      </c>
      <c r="C7" s="12">
        <v>8076</v>
      </c>
    </row>
    <row r="8" spans="1:4" x14ac:dyDescent="0.25">
      <c r="A8" s="11" t="s">
        <v>134</v>
      </c>
      <c r="B8" s="12">
        <v>144832.5</v>
      </c>
      <c r="C8" s="12">
        <v>31307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 Data</vt:lpstr>
      <vt:lpstr>Analysis Regional Performance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2023-05-29T07:26:35Z</dcterms:created>
  <dcterms:modified xsi:type="dcterms:W3CDTF">2026-04-01T11:13:07Z</dcterms:modified>
</cp:coreProperties>
</file>